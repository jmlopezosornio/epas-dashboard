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lopez\Desktop\epas-dashboard-v2\epas-dashboard-v2\data\"/>
    </mc:Choice>
  </mc:AlternateContent>
  <xr:revisionPtr revIDLastSave="0" documentId="13_ncr:1_{F08ECB6A-1E9F-4B14-BA97-CD3245494DEC}" xr6:coauthVersionLast="47" xr6:coauthVersionMax="47" xr10:uidLastSave="{00000000-0000-0000-0000-000000000000}"/>
  <bookViews>
    <workbookView xWindow="-98" yWindow="-98" windowWidth="19396" windowHeight="11475" activeTab="1" xr2:uid="{54D15892-E1DA-4569-BBA0-C690BBE1795B}"/>
  </bookViews>
  <sheets>
    <sheet name="Contratos" sheetId="3" r:id="rId1"/>
    <sheet name="En proceso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3" l="1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<sst xmlns="http://schemas.openxmlformats.org/spreadsheetml/2006/main" count="118" uniqueCount="76">
  <si>
    <t>BOCAS DE REGISTRO</t>
  </si>
  <si>
    <t>EX-2025-00064842-   -NEU-SECGRAL#EPAS</t>
  </si>
  <si>
    <t>SR</t>
  </si>
  <si>
    <t>EX-2025-03460839-   -NEU-SECGRAL#EPAS</t>
  </si>
  <si>
    <t>LIMAY</t>
  </si>
  <si>
    <t>EX-2025-03460882-   -NEU-SECGRAL#EPAS</t>
  </si>
  <si>
    <t>EX-2025-03460765-   -NEU-SECGRAL#EPAS</t>
  </si>
  <si>
    <t>SERVICIOS</t>
  </si>
  <si>
    <t>EX-2025-03460800-   -NEU-SECGRAL#EPAS</t>
  </si>
  <si>
    <t>EX-2025-00411732-   -NEU-SECGRAL#EPAS</t>
  </si>
  <si>
    <t>CONTRATO</t>
  </si>
  <si>
    <t>EXPTE</t>
  </si>
  <si>
    <t>EX-2025-03460588-   -NEU-SECGRAL#EPAS</t>
  </si>
  <si>
    <t>MAPIVIAL</t>
  </si>
  <si>
    <t>EX-2025-03460640-   -NEU-SECGRAL#EPAS</t>
  </si>
  <si>
    <t>EMFA</t>
  </si>
  <si>
    <t>EX-2025-03460474-   -NEU-SECGRAL#EPAS</t>
  </si>
  <si>
    <t>OBRAS Y DUCTOS</t>
  </si>
  <si>
    <t>EX-2025-03460479-   -NEU-SECGRAL#EPAS</t>
  </si>
  <si>
    <t>EX-2025-03460621-   -NEU-SECGRAL#EPAS</t>
  </si>
  <si>
    <t>OMEGA</t>
  </si>
  <si>
    <t>EX-2025-03460694-   -NEU-SECGRAL#EPAS</t>
  </si>
  <si>
    <t>EX-2025-00053007- -NEU-SECGRAL#EPAS</t>
  </si>
  <si>
    <t>EX-2026-01474960-   -NEU-SECGRAL#EPAS</t>
  </si>
  <si>
    <t>EX-2025-00053017-   -NEU-SECGRAL#EPAS</t>
  </si>
  <si>
    <t>EX-2026-01474952- -NEU-SECGRAL#EPAS</t>
  </si>
  <si>
    <t>EX-2025-03460690-   -NEU-SECGRAL#EPAS</t>
  </si>
  <si>
    <t>SGA S.R.L.</t>
  </si>
  <si>
    <t>EX-2024-02177401- -NEU-SECGRAL#EPAS</t>
  </si>
  <si>
    <t>PRESUPUESTO</t>
  </si>
  <si>
    <t>OFICIAL</t>
  </si>
  <si>
    <t>EMPRESA</t>
  </si>
  <si>
    <t>PLAZO</t>
  </si>
  <si>
    <t>PERSONAL</t>
  </si>
  <si>
    <t>PROVISIONES</t>
  </si>
  <si>
    <t>VARIOS</t>
  </si>
  <si>
    <t>VEHICULOS</t>
  </si>
  <si>
    <t>RESO</t>
  </si>
  <si>
    <t>ADJUDICADO</t>
  </si>
  <si>
    <t>-</t>
  </si>
  <si>
    <t>MANT. SIST.
CLOACAL ESTE1</t>
  </si>
  <si>
    <t>MANT. SIS. CLOACAL - REDES POZOS Y PILETAS</t>
  </si>
  <si>
    <t>MANT. SIST.              AGUA ESTE 2</t>
  </si>
  <si>
    <t>MANT. SIST.              AGUA ESTE 1</t>
  </si>
  <si>
    <t>MANT. SIST.              AGUA OESTE 3</t>
  </si>
  <si>
    <t>MANT. SIST.              AGUA OESTE 2</t>
  </si>
  <si>
    <t>MANT. SIST.              AGUA OESTE 1</t>
  </si>
  <si>
    <t>MANT. SIST.
CLOACAL ESTE 2</t>
  </si>
  <si>
    <t>MANT. SIST.
CLOACAL OESTE 2</t>
  </si>
  <si>
    <t>MANT. SIST.
CLOACAL OESTE 1</t>
  </si>
  <si>
    <t>MANT. SIST.              AGUA NORTE 1</t>
  </si>
  <si>
    <t>OPERACIÓN  PLANTA RODHE Y PLUIS</t>
  </si>
  <si>
    <t>1 Ing./Tec. 
5 op.</t>
  </si>
  <si>
    <t>OPERACIÓN Y PLANTA BEJARANO Y 12 DE SEP.</t>
  </si>
  <si>
    <t>OP. CIST. 3000 DESARROLLO DE MESETA</t>
  </si>
  <si>
    <t>FECHAS</t>
  </si>
  <si>
    <t>INICIO</t>
  </si>
  <si>
    <t>FINAL</t>
  </si>
  <si>
    <t>LOCALIDAD</t>
  </si>
  <si>
    <t>NQN</t>
  </si>
  <si>
    <t>360 CONST.</t>
  </si>
  <si>
    <t>NUEVA TRAMITACIÓN</t>
  </si>
  <si>
    <t>EX-2026-01474960- -NEU-SECGRAL#EPAS</t>
  </si>
  <si>
    <t>EX-2026-01492278- -NEU-SECGRAL#EPAS</t>
  </si>
  <si>
    <t>LOMA DE LA LATA</t>
  </si>
  <si>
    <t>OP. COM. PAYNEMIL Y KAXIPAYIN</t>
  </si>
  <si>
    <t>CHOS MALAL</t>
  </si>
  <si>
    <t>MANT. SIST. AGUA POTABLE</t>
  </si>
  <si>
    <t>EX-2025-01765796- -NEU-SECGRAL#EPAS</t>
  </si>
  <si>
    <t>5 Op.</t>
  </si>
  <si>
    <t>EX-2026-01803144- -NEU-SECGRAL#EPAS</t>
  </si>
  <si>
    <t>AMPLIACIÓN X 3 MESES - 13-10-2026</t>
  </si>
  <si>
    <t>EX-2026-02252145- -NEU-SECGRAL#EPAS</t>
  </si>
  <si>
    <t>VILLA LA ANGOSTURA</t>
  </si>
  <si>
    <t>OP. Y MANT.PTLC Y SIST. ASOCIADOS</t>
  </si>
  <si>
    <t>4 Op.         1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</si>
</sst>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dd\-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F7B0-989C-4087-8755-22BA65CE42DB}">
  <sheetPr>
    <pageSetUpPr fitToPage="1"/>
  </sheetPr>
  <dimension ref="A1:I19"/>
  <sheetViews>
    <sheetView topLeftCell="B1" workbookViewId="0">
      <selection activeCell="D5" sqref="D5"/>
    </sheetView>
  </sheetViews>
  <sheetFormatPr baseColWidth="10" defaultRowHeight="14.25" x14ac:dyDescent="0.45"/>
  <cols>
    <col min="1" max="1" width="10.6640625" style="23"/>
    <col min="2" max="2" width="20.9296875" style="26" customWidth="1"/>
    <col min="3" max="3" width="34.6640625" bestFit="1" customWidth="1"/>
    <col min="4" max="4" width="16.1328125" bestFit="1" customWidth="1"/>
    <col min="6" max="6" width="6" bestFit="1" customWidth="1"/>
    <col min="7" max="7" width="9.19921875" style="21" bestFit="1" customWidth="1"/>
    <col min="8" max="8" width="10.19921875" style="21" bestFit="1" customWidth="1"/>
    <col min="9" max="9" width="34.6640625" bestFit="1" customWidth="1"/>
    <col min="10" max="10" width="21.6640625" customWidth="1"/>
  </cols>
  <sheetData>
    <row r="1" spans="1:9" s="6" customFormat="1" x14ac:dyDescent="0.45">
      <c r="A1" s="34" t="s">
        <v>58</v>
      </c>
      <c r="B1" s="37" t="s">
        <v>10</v>
      </c>
      <c r="C1" s="34" t="s">
        <v>11</v>
      </c>
      <c r="D1" s="30"/>
      <c r="E1" s="34" t="s">
        <v>31</v>
      </c>
      <c r="F1" s="34" t="s">
        <v>32</v>
      </c>
      <c r="G1" s="35" t="s">
        <v>55</v>
      </c>
      <c r="H1" s="36"/>
      <c r="I1" s="34" t="s">
        <v>61</v>
      </c>
    </row>
    <row r="2" spans="1:9" s="6" customFormat="1" x14ac:dyDescent="0.45">
      <c r="A2" s="34"/>
      <c r="B2" s="37"/>
      <c r="C2" s="34"/>
      <c r="D2" s="7" t="s">
        <v>38</v>
      </c>
      <c r="E2" s="34"/>
      <c r="F2" s="34"/>
      <c r="G2" s="16" t="s">
        <v>56</v>
      </c>
      <c r="H2" s="16" t="s">
        <v>57</v>
      </c>
      <c r="I2" s="34"/>
    </row>
    <row r="3" spans="1:9" s="3" customFormat="1" ht="14.25" customHeight="1" x14ac:dyDescent="0.45">
      <c r="A3" s="11" t="s">
        <v>59</v>
      </c>
      <c r="B3" s="13" t="s">
        <v>0</v>
      </c>
      <c r="C3" s="2" t="s">
        <v>1</v>
      </c>
      <c r="D3" s="8">
        <v>933525020</v>
      </c>
      <c r="E3" s="1" t="s">
        <v>2</v>
      </c>
      <c r="F3" s="1">
        <v>365</v>
      </c>
      <c r="G3" s="17">
        <v>46266</v>
      </c>
      <c r="H3" s="17">
        <f>+G3+179</f>
        <v>46445</v>
      </c>
      <c r="I3" s="31"/>
    </row>
    <row r="4" spans="1:9" s="3" customFormat="1" ht="27.75" customHeight="1" x14ac:dyDescent="0.45">
      <c r="A4" s="11" t="s">
        <v>59</v>
      </c>
      <c r="B4" s="13" t="s">
        <v>49</v>
      </c>
      <c r="C4" s="2" t="s">
        <v>3</v>
      </c>
      <c r="D4" s="8">
        <v>706034560</v>
      </c>
      <c r="E4" s="1" t="s">
        <v>2</v>
      </c>
      <c r="F4" s="1">
        <v>365</v>
      </c>
      <c r="G4" s="17">
        <v>46204</v>
      </c>
      <c r="H4" s="17">
        <f>+G4+364</f>
        <v>46568</v>
      </c>
      <c r="I4" s="14"/>
    </row>
    <row r="5" spans="1:9" s="3" customFormat="1" ht="27.75" customHeight="1" x14ac:dyDescent="0.45">
      <c r="A5" s="11" t="s">
        <v>59</v>
      </c>
      <c r="B5" s="13" t="s">
        <v>48</v>
      </c>
      <c r="C5" s="2" t="s">
        <v>5</v>
      </c>
      <c r="D5" s="8">
        <v>720815584</v>
      </c>
      <c r="E5" s="1" t="s">
        <v>4</v>
      </c>
      <c r="F5" s="1">
        <v>365</v>
      </c>
      <c r="G5" s="17">
        <v>46202</v>
      </c>
      <c r="H5" s="17">
        <f>+G5+364</f>
        <v>46566</v>
      </c>
      <c r="I5" s="14"/>
    </row>
    <row r="6" spans="1:9" s="3" customFormat="1" ht="27.75" customHeight="1" x14ac:dyDescent="0.45">
      <c r="A6" s="11" t="s">
        <v>59</v>
      </c>
      <c r="B6" s="13" t="s">
        <v>40</v>
      </c>
      <c r="C6" s="2" t="s">
        <v>6</v>
      </c>
      <c r="D6" s="8">
        <v>728333440</v>
      </c>
      <c r="E6" s="1" t="s">
        <v>7</v>
      </c>
      <c r="F6" s="1">
        <v>364</v>
      </c>
      <c r="G6" s="17">
        <v>46178</v>
      </c>
      <c r="H6" s="17">
        <f>+G6+364</f>
        <v>46542</v>
      </c>
      <c r="I6" s="14"/>
    </row>
    <row r="7" spans="1:9" s="3" customFormat="1" ht="27.75" customHeight="1" x14ac:dyDescent="0.45">
      <c r="A7" s="11" t="s">
        <v>59</v>
      </c>
      <c r="B7" s="13" t="s">
        <v>47</v>
      </c>
      <c r="C7" s="2" t="s">
        <v>8</v>
      </c>
      <c r="D7" s="8">
        <v>720815584</v>
      </c>
      <c r="E7" s="1" t="s">
        <v>4</v>
      </c>
      <c r="F7" s="1">
        <v>365</v>
      </c>
      <c r="G7" s="17">
        <v>46202</v>
      </c>
      <c r="H7" s="17">
        <f>+G7+364</f>
        <v>46566</v>
      </c>
      <c r="I7" s="14"/>
    </row>
    <row r="8" spans="1:9" s="3" customFormat="1" ht="14" customHeight="1" x14ac:dyDescent="0.45">
      <c r="A8" s="11" t="s">
        <v>59</v>
      </c>
      <c r="B8" s="32" t="s">
        <v>41</v>
      </c>
      <c r="C8" s="33" t="s">
        <v>9</v>
      </c>
      <c r="D8" s="8">
        <v>610936208</v>
      </c>
      <c r="E8" s="2" t="s">
        <v>60</v>
      </c>
      <c r="F8" s="1">
        <v>365</v>
      </c>
      <c r="G8" s="17">
        <v>46266</v>
      </c>
      <c r="H8" s="17">
        <f>+G8+179</f>
        <v>46445</v>
      </c>
      <c r="I8" s="31"/>
    </row>
    <row r="9" spans="1:9" s="3" customFormat="1" ht="27.85" customHeight="1" x14ac:dyDescent="0.45">
      <c r="A9" s="11" t="s">
        <v>59</v>
      </c>
      <c r="B9" s="13" t="s">
        <v>46</v>
      </c>
      <c r="C9" s="2" t="s">
        <v>12</v>
      </c>
      <c r="D9" s="8">
        <v>609199564</v>
      </c>
      <c r="E9" s="1" t="s">
        <v>13</v>
      </c>
      <c r="F9" s="1">
        <v>365</v>
      </c>
      <c r="G9" s="17">
        <v>46153</v>
      </c>
      <c r="H9" s="17">
        <f t="shared" ref="H9:H17" si="0">+G9+364</f>
        <v>46517</v>
      </c>
      <c r="I9" s="14"/>
    </row>
    <row r="10" spans="1:9" s="3" customFormat="1" ht="27.85" customHeight="1" x14ac:dyDescent="0.45">
      <c r="A10" s="11" t="s">
        <v>59</v>
      </c>
      <c r="B10" s="13" t="s">
        <v>45</v>
      </c>
      <c r="C10" s="2" t="s">
        <v>14</v>
      </c>
      <c r="D10" s="8">
        <v>623993238.70000005</v>
      </c>
      <c r="E10" s="1" t="s">
        <v>15</v>
      </c>
      <c r="F10" s="1">
        <v>365</v>
      </c>
      <c r="G10" s="17">
        <v>46150</v>
      </c>
      <c r="H10" s="17">
        <f t="shared" si="0"/>
        <v>46514</v>
      </c>
      <c r="I10" s="14"/>
    </row>
    <row r="11" spans="1:9" s="3" customFormat="1" ht="27.85" customHeight="1" x14ac:dyDescent="0.45">
      <c r="A11" s="11" t="s">
        <v>59</v>
      </c>
      <c r="B11" s="13" t="s">
        <v>44</v>
      </c>
      <c r="C11" s="2" t="s">
        <v>16</v>
      </c>
      <c r="D11" s="8">
        <v>620459619.70000005</v>
      </c>
      <c r="E11" s="2" t="s">
        <v>17</v>
      </c>
      <c r="F11" s="1">
        <v>365</v>
      </c>
      <c r="G11" s="17">
        <v>46146</v>
      </c>
      <c r="H11" s="17">
        <f t="shared" si="0"/>
        <v>46510</v>
      </c>
      <c r="I11" s="14"/>
    </row>
    <row r="12" spans="1:9" s="3" customFormat="1" ht="27.85" customHeight="1" x14ac:dyDescent="0.45">
      <c r="A12" s="11" t="s">
        <v>59</v>
      </c>
      <c r="B12" s="13" t="s">
        <v>43</v>
      </c>
      <c r="C12" s="2" t="s">
        <v>18</v>
      </c>
      <c r="D12" s="8">
        <v>596098228</v>
      </c>
      <c r="E12" s="1" t="s">
        <v>13</v>
      </c>
      <c r="F12" s="1">
        <v>365</v>
      </c>
      <c r="G12" s="17">
        <v>46153</v>
      </c>
      <c r="H12" s="17">
        <f t="shared" si="0"/>
        <v>46517</v>
      </c>
      <c r="I12" s="14"/>
    </row>
    <row r="13" spans="1:9" s="3" customFormat="1" ht="27.85" customHeight="1" x14ac:dyDescent="0.45">
      <c r="A13" s="11" t="s">
        <v>59</v>
      </c>
      <c r="B13" s="13" t="s">
        <v>42</v>
      </c>
      <c r="C13" s="2" t="s">
        <v>19</v>
      </c>
      <c r="D13" s="8">
        <v>614993520.25999999</v>
      </c>
      <c r="E13" s="1" t="s">
        <v>20</v>
      </c>
      <c r="F13" s="1">
        <v>365</v>
      </c>
      <c r="G13" s="17">
        <v>46147</v>
      </c>
      <c r="H13" s="18">
        <f t="shared" si="0"/>
        <v>46511</v>
      </c>
      <c r="I13" s="14"/>
    </row>
    <row r="14" spans="1:9" s="3" customFormat="1" ht="27.85" customHeight="1" x14ac:dyDescent="0.45">
      <c r="A14" s="11" t="s">
        <v>59</v>
      </c>
      <c r="B14" s="13" t="s">
        <v>50</v>
      </c>
      <c r="C14" s="2" t="s">
        <v>21</v>
      </c>
      <c r="D14" s="8">
        <v>622532946</v>
      </c>
      <c r="E14" s="1" t="s">
        <v>7</v>
      </c>
      <c r="F14" s="1">
        <v>365</v>
      </c>
      <c r="G14" s="17">
        <v>46148</v>
      </c>
      <c r="H14" s="17">
        <f t="shared" si="0"/>
        <v>46512</v>
      </c>
      <c r="I14" s="14"/>
    </row>
    <row r="15" spans="1:9" s="3" customFormat="1" ht="27.85" customHeight="1" x14ac:dyDescent="0.45">
      <c r="A15" s="11" t="s">
        <v>59</v>
      </c>
      <c r="B15" s="13" t="s">
        <v>51</v>
      </c>
      <c r="C15" s="2" t="s">
        <v>22</v>
      </c>
      <c r="D15" s="8">
        <v>393933712.31999999</v>
      </c>
      <c r="E15" s="1" t="s">
        <v>4</v>
      </c>
      <c r="F15" s="1">
        <v>365</v>
      </c>
      <c r="G15" s="17">
        <v>45962</v>
      </c>
      <c r="H15" s="19">
        <f t="shared" si="0"/>
        <v>46326</v>
      </c>
      <c r="I15" s="12" t="s">
        <v>62</v>
      </c>
    </row>
    <row r="16" spans="1:9" s="3" customFormat="1" ht="27.85" customHeight="1" x14ac:dyDescent="0.45">
      <c r="A16" s="11" t="s">
        <v>59</v>
      </c>
      <c r="B16" s="13" t="s">
        <v>53</v>
      </c>
      <c r="C16" s="2" t="s">
        <v>24</v>
      </c>
      <c r="D16" s="8">
        <v>390794367.60000002</v>
      </c>
      <c r="E16" s="1" t="s">
        <v>20</v>
      </c>
      <c r="F16" s="1">
        <v>365</v>
      </c>
      <c r="G16" s="17">
        <v>45962</v>
      </c>
      <c r="H16" s="20">
        <f t="shared" si="0"/>
        <v>46326</v>
      </c>
      <c r="I16" s="12" t="s">
        <v>25</v>
      </c>
    </row>
    <row r="17" spans="1:9" s="3" customFormat="1" ht="27.85" customHeight="1" x14ac:dyDescent="0.45">
      <c r="A17" s="11" t="s">
        <v>59</v>
      </c>
      <c r="B17" s="13" t="s">
        <v>54</v>
      </c>
      <c r="C17" s="2" t="s">
        <v>26</v>
      </c>
      <c r="D17" s="8">
        <v>301855510.44</v>
      </c>
      <c r="E17" s="1" t="s">
        <v>27</v>
      </c>
      <c r="F17" s="1">
        <v>365</v>
      </c>
      <c r="G17" s="17">
        <v>46095</v>
      </c>
      <c r="H17" s="17">
        <f t="shared" si="0"/>
        <v>46459</v>
      </c>
      <c r="I17" s="2" t="s">
        <v>63</v>
      </c>
    </row>
    <row r="18" spans="1:9" s="22" customFormat="1" ht="27.85" customHeight="1" x14ac:dyDescent="0.45">
      <c r="A18" s="24" t="s">
        <v>64</v>
      </c>
      <c r="B18" s="25" t="s">
        <v>65</v>
      </c>
      <c r="C18" s="1" t="s">
        <v>28</v>
      </c>
      <c r="D18" s="8">
        <v>1439741478.5999999</v>
      </c>
      <c r="E18" s="1" t="s">
        <v>20</v>
      </c>
      <c r="F18" s="1">
        <v>365</v>
      </c>
      <c r="G18" s="17"/>
      <c r="H18" s="17"/>
      <c r="I18" s="1"/>
    </row>
    <row r="19" spans="1:9" ht="27.85" customHeight="1" x14ac:dyDescent="0.45">
      <c r="A19" s="27" t="s">
        <v>66</v>
      </c>
      <c r="B19" s="28" t="s">
        <v>67</v>
      </c>
      <c r="C19" s="2" t="s">
        <v>68</v>
      </c>
      <c r="D19" s="8">
        <v>382098511.81999999</v>
      </c>
      <c r="E19" s="1" t="s">
        <v>15</v>
      </c>
      <c r="F19" s="1">
        <v>180</v>
      </c>
      <c r="G19" s="17">
        <v>46036</v>
      </c>
      <c r="H19" s="20">
        <f>G19+F19</f>
        <v>46216</v>
      </c>
      <c r="I19" s="2" t="s">
        <v>71</v>
      </c>
    </row>
  </sheetData>
  <mergeCells count="7">
    <mergeCell ref="I1:I2"/>
    <mergeCell ref="G1:H1"/>
    <mergeCell ref="A1:A2"/>
    <mergeCell ref="B1:B2"/>
    <mergeCell ref="C1:C2"/>
    <mergeCell ref="E1:E2"/>
    <mergeCell ref="F1:F2"/>
  </mergeCells>
  <pageMargins left="0.25" right="0.25" top="0.75" bottom="0.75" header="0.3" footer="0.3"/>
  <pageSetup paperSize="9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B08B-7A96-4C7B-BA3C-78B526366D2A}">
  <dimension ref="A3:M8"/>
  <sheetViews>
    <sheetView tabSelected="1" workbookViewId="0">
      <selection activeCell="L8" sqref="L8"/>
    </sheetView>
  </sheetViews>
  <sheetFormatPr baseColWidth="10" defaultRowHeight="14.25" x14ac:dyDescent="0.45"/>
  <cols>
    <col min="1" max="1" width="12.19921875" customWidth="1"/>
    <col min="2" max="2" width="17.59765625" customWidth="1"/>
    <col min="3" max="3" width="34.6640625" bestFit="1" customWidth="1"/>
    <col min="4" max="5" width="14.59765625" bestFit="1" customWidth="1"/>
    <col min="6" max="6" width="6.46484375" bestFit="1" customWidth="1"/>
    <col min="7" max="7" width="8.46484375" bestFit="1" customWidth="1"/>
    <col min="8" max="8" width="6" bestFit="1" customWidth="1"/>
    <col min="9" max="9" width="9.265625" bestFit="1" customWidth="1"/>
    <col min="10" max="10" width="6.9296875" bestFit="1" customWidth="1"/>
    <col min="11" max="11" width="9.86328125" bestFit="1" customWidth="1"/>
    <col min="12" max="12" width="9.19921875" bestFit="1" customWidth="1"/>
    <col min="13" max="13" width="10.19921875" bestFit="1" customWidth="1"/>
  </cols>
  <sheetData>
    <row r="3" spans="1:13" s="6" customFormat="1" x14ac:dyDescent="0.45">
      <c r="A3" s="34" t="s">
        <v>58</v>
      </c>
      <c r="B3" s="37" t="s">
        <v>10</v>
      </c>
      <c r="C3" s="34" t="s">
        <v>11</v>
      </c>
      <c r="D3" s="40" t="s">
        <v>29</v>
      </c>
      <c r="E3" s="40"/>
      <c r="F3" s="4"/>
      <c r="G3" s="34" t="s">
        <v>31</v>
      </c>
      <c r="H3" s="34" t="s">
        <v>32</v>
      </c>
      <c r="I3" s="34" t="s">
        <v>33</v>
      </c>
      <c r="J3" s="34" t="s">
        <v>34</v>
      </c>
      <c r="K3" s="34"/>
      <c r="L3" s="38" t="s">
        <v>55</v>
      </c>
      <c r="M3" s="39"/>
    </row>
    <row r="4" spans="1:13" s="6" customFormat="1" x14ac:dyDescent="0.45">
      <c r="A4" s="34"/>
      <c r="B4" s="37"/>
      <c r="C4" s="34"/>
      <c r="D4" s="7" t="s">
        <v>30</v>
      </c>
      <c r="E4" s="7" t="s">
        <v>38</v>
      </c>
      <c r="F4" s="4" t="s">
        <v>37</v>
      </c>
      <c r="G4" s="34"/>
      <c r="H4" s="34"/>
      <c r="I4" s="34"/>
      <c r="J4" s="4" t="s">
        <v>35</v>
      </c>
      <c r="K4" s="4" t="s">
        <v>36</v>
      </c>
      <c r="L4" s="5" t="s">
        <v>56</v>
      </c>
      <c r="M4" s="5" t="s">
        <v>57</v>
      </c>
    </row>
    <row r="5" spans="1:13" s="3" customFormat="1" ht="27.85" customHeight="1" x14ac:dyDescent="0.45">
      <c r="A5" s="11" t="s">
        <v>59</v>
      </c>
      <c r="B5" s="13" t="s">
        <v>51</v>
      </c>
      <c r="C5" s="2" t="s">
        <v>23</v>
      </c>
      <c r="D5" s="8"/>
      <c r="E5" s="8"/>
      <c r="F5" s="2"/>
      <c r="G5" s="1"/>
      <c r="H5" s="1">
        <v>365</v>
      </c>
      <c r="I5" s="10" t="s">
        <v>52</v>
      </c>
      <c r="J5" s="10" t="s">
        <v>39</v>
      </c>
      <c r="K5" s="2">
        <v>1</v>
      </c>
      <c r="L5" s="9"/>
      <c r="M5" s="15"/>
    </row>
    <row r="6" spans="1:13" s="3" customFormat="1" ht="27.85" customHeight="1" x14ac:dyDescent="0.45">
      <c r="A6" s="11" t="s">
        <v>59</v>
      </c>
      <c r="B6" s="13" t="s">
        <v>53</v>
      </c>
      <c r="C6" s="2" t="s">
        <v>25</v>
      </c>
      <c r="D6" s="8"/>
      <c r="E6" s="8"/>
      <c r="F6" s="2"/>
      <c r="G6" s="1"/>
      <c r="H6" s="1">
        <v>365</v>
      </c>
      <c r="I6" s="10" t="s">
        <v>52</v>
      </c>
      <c r="J6" s="10" t="s">
        <v>39</v>
      </c>
      <c r="K6" s="2">
        <v>2</v>
      </c>
      <c r="L6" s="9"/>
      <c r="M6" s="9"/>
    </row>
    <row r="7" spans="1:13" ht="28.5" x14ac:dyDescent="0.45">
      <c r="A7" s="27" t="s">
        <v>66</v>
      </c>
      <c r="B7" s="28" t="s">
        <v>67</v>
      </c>
      <c r="C7" s="2" t="s">
        <v>70</v>
      </c>
      <c r="D7" s="8">
        <v>614779595.82000005</v>
      </c>
      <c r="E7" s="8"/>
      <c r="F7" s="2"/>
      <c r="G7" s="1"/>
      <c r="H7" s="1">
        <v>180</v>
      </c>
      <c r="I7" s="1" t="s">
        <v>69</v>
      </c>
      <c r="J7" s="1" t="s">
        <v>39</v>
      </c>
      <c r="K7" s="1">
        <v>1</v>
      </c>
      <c r="L7" s="29"/>
      <c r="M7" s="29"/>
    </row>
    <row r="8" spans="1:13" ht="28.5" x14ac:dyDescent="0.45">
      <c r="A8" s="24" t="s">
        <v>73</v>
      </c>
      <c r="B8" s="41" t="s">
        <v>74</v>
      </c>
      <c r="C8" s="42" t="s">
        <v>72</v>
      </c>
      <c r="D8" s="8">
        <v>402830173.60000002</v>
      </c>
      <c r="E8" s="1"/>
      <c r="F8" s="1"/>
      <c r="G8" s="1"/>
      <c r="H8" s="1">
        <v>180</v>
      </c>
      <c r="I8" s="2" t="s">
        <v>75</v>
      </c>
      <c r="J8" s="1" t="s">
        <v>39</v>
      </c>
      <c r="K8" s="1">
        <v>1</v>
      </c>
      <c r="L8" s="1"/>
      <c r="M8" s="1"/>
    </row>
  </sheetData>
  <mergeCells count="9">
    <mergeCell ref="I3:I4"/>
    <mergeCell ref="J3:K3"/>
    <mergeCell ref="L3:M3"/>
    <mergeCell ref="A3:A4"/>
    <mergeCell ref="B3:B4"/>
    <mergeCell ref="C3:C4"/>
    <mergeCell ref="D3:E3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</vt:lpstr>
      <vt:lpstr>En 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</dc:creator>
  <cp:lastModifiedBy>Juan Manuel Lopez Osornio</cp:lastModifiedBy>
  <cp:lastPrinted>2026-09-16T14:38:31Z</cp:lastPrinted>
  <dcterms:created xsi:type="dcterms:W3CDTF">2026-07-30T11:37:41Z</dcterms:created>
  <dcterms:modified xsi:type="dcterms:W3CDTF">2026-10-01T10:31:54Z</dcterms:modified>
</cp:coreProperties>
</file>