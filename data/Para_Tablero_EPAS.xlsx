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mlopez\Desktop\"/>
    </mc:Choice>
  </mc:AlternateContent>
  <xr:revisionPtr revIDLastSave="0" documentId="13_ncr:1_{D5490C1A-0ABA-4B70-902B-4FF97FBA3641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" l="1"/>
  <c r="F28" i="1"/>
  <c r="E28" i="1"/>
  <c r="D28" i="1"/>
  <c r="C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28" i="1" s="1"/>
  <c r="I3" i="1" l="1"/>
  <c r="I5" i="1"/>
  <c r="I8" i="1"/>
  <c r="I11" i="1"/>
  <c r="I15" i="1"/>
  <c r="I17" i="1"/>
  <c r="I19" i="1"/>
  <c r="I20" i="1"/>
  <c r="I21" i="1"/>
  <c r="I22" i="1"/>
  <c r="I4" i="1"/>
  <c r="I6" i="1"/>
  <c r="I9" i="1"/>
  <c r="I14" i="1"/>
  <c r="I16" i="1"/>
  <c r="I18" i="1"/>
  <c r="I23" i="1"/>
  <c r="I24" i="1"/>
  <c r="I26" i="1"/>
  <c r="I27" i="1"/>
  <c r="I2" i="1"/>
  <c r="I25" i="1"/>
  <c r="I13" i="1"/>
  <c r="I12" i="1"/>
  <c r="I10" i="1"/>
  <c r="I7" i="1"/>
  <c r="I28" i="1" l="1"/>
</calcChain>
</file>

<file path=xl/sharedStrings.xml><?xml version="1.0" encoding="utf-8"?>
<sst xmlns="http://schemas.openxmlformats.org/spreadsheetml/2006/main" count="35" uniqueCount="35">
  <si>
    <t>Agente de cobro</t>
  </si>
  <si>
    <t>Neuquén</t>
  </si>
  <si>
    <t>Chos Malal</t>
  </si>
  <si>
    <t>Senillosa</t>
  </si>
  <si>
    <t>Junin de los Andes</t>
  </si>
  <si>
    <t>Villa la Angostura</t>
  </si>
  <si>
    <t>Total General</t>
  </si>
  <si>
    <t>Porcentaje</t>
  </si>
  <si>
    <t>Transferencias</t>
  </si>
  <si>
    <t>Red Link</t>
  </si>
  <si>
    <t>RapiPago</t>
  </si>
  <si>
    <t>Pago Mis Cuentas</t>
  </si>
  <si>
    <t>Cobro Express</t>
  </si>
  <si>
    <t>PagoFacil</t>
  </si>
  <si>
    <t>Ripsa</t>
  </si>
  <si>
    <t>Bapro</t>
  </si>
  <si>
    <t>MasterCard (Debito Aut.)</t>
  </si>
  <si>
    <t>BPN (Otros Bancos)</t>
  </si>
  <si>
    <t>Maestro (Posnet)</t>
  </si>
  <si>
    <t>Confiable (Posnet)</t>
  </si>
  <si>
    <t>Visa Elect. (Debito Aut.)</t>
  </si>
  <si>
    <t>Visa Cred. (Debito Aut.)</t>
  </si>
  <si>
    <t>Naranja (Deb. Aut.)</t>
  </si>
  <si>
    <t>MasterCard (Posnet)</t>
  </si>
  <si>
    <t>Visa Elect. (Posnet)</t>
  </si>
  <si>
    <t>Visa (Posnet)</t>
  </si>
  <si>
    <t>Naranja (Posnet)</t>
  </si>
  <si>
    <t>Cabal Debito (Posnet)</t>
  </si>
  <si>
    <t>Confiable BPN (Debito Aut.)</t>
  </si>
  <si>
    <t>QR (Posnet)</t>
  </si>
  <si>
    <t>MasterCard Debit (Posnet)</t>
  </si>
  <si>
    <t>Cobranza MercadoPago</t>
  </si>
  <si>
    <t>MercadoPago Ing. Manual</t>
  </si>
  <si>
    <t>PagoFacil Cobranza por Caja</t>
  </si>
  <si>
    <t>AGOSTO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</si>
</sst>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0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/>
    <xf numFmtId="164" fontId="0" fillId="0" borderId="0" xfId="0" applyNumberFormat="1"/>
    <xf numFmtId="10" fontId="0" fillId="0" borderId="0" xfId="0" applyNumberFormat="1" applyAlignment="1">
      <alignment horizontal="center"/>
    </xf>
    <xf numFmtId="49" fontId="3" fillId="0" borderId="2" xfId="0" applyNumberFormat="1" applyFont="1" applyBorder="1" applyAlignment="1">
      <alignment horizontal="center" textRotation="25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topLeftCell="A5" workbookViewId="0">
      <selection sqref="A1:I28"/>
    </sheetView>
  </sheetViews>
  <sheetFormatPr baseColWidth="10" defaultRowHeight="14.25" x14ac:dyDescent="0.45"/>
  <cols>
    <col min="1" max="1" width="11.06640625" bestFit="1" customWidth="1"/>
    <col min="2" max="2" width="22.73046875" bestFit="1" customWidth="1"/>
    <col min="3" max="3" width="17.1328125" style="8" bestFit="1" customWidth="1"/>
    <col min="4" max="5" width="13.59765625" style="8" bestFit="1" customWidth="1"/>
    <col min="6" max="6" width="17.06640625" style="8" bestFit="1" customWidth="1"/>
    <col min="7" max="7" width="16.33203125" style="8" bestFit="1" customWidth="1"/>
    <col min="8" max="8" width="16.1328125" style="8" bestFit="1" customWidth="1"/>
    <col min="9" max="9" width="10.6640625" style="9"/>
  </cols>
  <sheetData>
    <row r="1" spans="1:9" ht="15.75" x14ac:dyDescent="0.5">
      <c r="A1" s="10" t="s">
        <v>34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</row>
    <row r="2" spans="1:9" x14ac:dyDescent="0.45">
      <c r="A2" s="10"/>
      <c r="B2" s="4" t="s">
        <v>8</v>
      </c>
      <c r="C2" s="5">
        <v>274552575.22000003</v>
      </c>
      <c r="D2" s="5">
        <v>0</v>
      </c>
      <c r="E2" s="5">
        <v>0</v>
      </c>
      <c r="F2" s="5">
        <v>0</v>
      </c>
      <c r="G2" s="5">
        <v>0</v>
      </c>
      <c r="H2" s="5">
        <f>C2+D2+E2+F2+G2</f>
        <v>274552575.22000003</v>
      </c>
      <c r="I2" s="6">
        <f>(H2*100/H28)/100</f>
        <v>6.8306601165383576E-2</v>
      </c>
    </row>
    <row r="3" spans="1:9" x14ac:dyDescent="0.45">
      <c r="A3" s="10"/>
      <c r="B3" s="4" t="s">
        <v>9</v>
      </c>
      <c r="C3" s="5">
        <v>346645673.93000001</v>
      </c>
      <c r="D3" s="5">
        <v>0</v>
      </c>
      <c r="E3" s="5">
        <v>0</v>
      </c>
      <c r="F3" s="5">
        <v>0</v>
      </c>
      <c r="G3" s="5">
        <v>0</v>
      </c>
      <c r="H3" s="5">
        <f>C3+D3+E3+F3+G3</f>
        <v>346645673.93000001</v>
      </c>
      <c r="I3" s="6">
        <f>(H3*100/H28)/100</f>
        <v>8.6242818068155758E-2</v>
      </c>
    </row>
    <row r="4" spans="1:9" x14ac:dyDescent="0.45">
      <c r="A4" s="10"/>
      <c r="B4" s="4" t="s">
        <v>10</v>
      </c>
      <c r="C4" s="5">
        <v>18668061.949999999</v>
      </c>
      <c r="D4" s="5">
        <v>0</v>
      </c>
      <c r="E4" s="5">
        <v>0</v>
      </c>
      <c r="F4" s="5">
        <v>0</v>
      </c>
      <c r="G4" s="5">
        <v>0</v>
      </c>
      <c r="H4" s="5">
        <f t="shared" ref="H4:H18" si="0">C4+D4+E4+F4+G4</f>
        <v>18668061.949999999</v>
      </c>
      <c r="I4" s="6">
        <f>(H4*100/H28)/100</f>
        <v>4.6444724152652321E-3</v>
      </c>
    </row>
    <row r="5" spans="1:9" x14ac:dyDescent="0.45">
      <c r="A5" s="10"/>
      <c r="B5" s="4" t="s">
        <v>11</v>
      </c>
      <c r="C5" s="5">
        <v>337976033.66000003</v>
      </c>
      <c r="D5" s="5">
        <v>0</v>
      </c>
      <c r="E5" s="5">
        <v>0</v>
      </c>
      <c r="F5" s="5">
        <v>0</v>
      </c>
      <c r="G5" s="5">
        <v>0</v>
      </c>
      <c r="H5" s="5">
        <f t="shared" si="0"/>
        <v>337976033.66000003</v>
      </c>
      <c r="I5" s="6">
        <f>(H5*100/H28)/100</f>
        <v>8.4085877235618653E-2</v>
      </c>
    </row>
    <row r="6" spans="1:9" x14ac:dyDescent="0.45">
      <c r="A6" s="10"/>
      <c r="B6" s="4" t="s">
        <v>12</v>
      </c>
      <c r="C6" s="5">
        <v>8894533.2599999998</v>
      </c>
      <c r="D6" s="5">
        <v>0</v>
      </c>
      <c r="E6" s="5">
        <v>0</v>
      </c>
      <c r="F6" s="5">
        <v>0</v>
      </c>
      <c r="G6" s="5">
        <v>0</v>
      </c>
      <c r="H6" s="5">
        <f t="shared" si="0"/>
        <v>8894533.2599999998</v>
      </c>
      <c r="I6" s="6">
        <f>(H6*100/H28)/100</f>
        <v>2.212892505037414E-3</v>
      </c>
    </row>
    <row r="7" spans="1:9" x14ac:dyDescent="0.45">
      <c r="A7" s="10"/>
      <c r="B7" s="4" t="s">
        <v>13</v>
      </c>
      <c r="C7" s="5">
        <v>1418609109.97</v>
      </c>
      <c r="D7" s="5">
        <v>0</v>
      </c>
      <c r="E7" s="5">
        <v>0</v>
      </c>
      <c r="F7" s="5">
        <v>0</v>
      </c>
      <c r="G7" s="5">
        <v>0</v>
      </c>
      <c r="H7" s="5">
        <f t="shared" si="0"/>
        <v>1418609109.97</v>
      </c>
      <c r="I7" s="6">
        <f>(H7*100/H28)/100</f>
        <v>0.35293920155967912</v>
      </c>
    </row>
    <row r="8" spans="1:9" x14ac:dyDescent="0.45">
      <c r="A8" s="10"/>
      <c r="B8" s="4" t="s">
        <v>14</v>
      </c>
      <c r="C8" s="5">
        <v>87644.88</v>
      </c>
      <c r="D8" s="5">
        <v>0</v>
      </c>
      <c r="E8" s="5">
        <v>0</v>
      </c>
      <c r="F8" s="5">
        <v>0</v>
      </c>
      <c r="G8" s="5">
        <v>0</v>
      </c>
      <c r="H8" s="5">
        <f t="shared" si="0"/>
        <v>87644.88</v>
      </c>
      <c r="I8" s="6">
        <f>(H8*100/H28)/100</f>
        <v>2.1805382293539655E-5</v>
      </c>
    </row>
    <row r="9" spans="1:9" x14ac:dyDescent="0.45">
      <c r="A9" s="10"/>
      <c r="B9" s="4" t="s">
        <v>15</v>
      </c>
      <c r="C9" s="5">
        <v>783061.68</v>
      </c>
      <c r="D9" s="5">
        <v>0</v>
      </c>
      <c r="E9" s="5">
        <v>0</v>
      </c>
      <c r="F9" s="5">
        <v>0</v>
      </c>
      <c r="G9" s="5">
        <v>0</v>
      </c>
      <c r="H9" s="5">
        <f t="shared" si="0"/>
        <v>783061.68</v>
      </c>
      <c r="I9" s="6">
        <f>(H9*100/H28)/100</f>
        <v>1.9481981482342625E-4</v>
      </c>
    </row>
    <row r="10" spans="1:9" x14ac:dyDescent="0.45">
      <c r="A10" s="10"/>
      <c r="B10" s="4" t="s">
        <v>16</v>
      </c>
      <c r="C10" s="5">
        <v>63496612.770000003</v>
      </c>
      <c r="D10" s="5">
        <v>0</v>
      </c>
      <c r="E10" s="5">
        <v>0</v>
      </c>
      <c r="F10" s="5">
        <v>0</v>
      </c>
      <c r="G10" s="5">
        <v>0</v>
      </c>
      <c r="H10" s="5">
        <f t="shared" si="0"/>
        <v>63496612.770000003</v>
      </c>
      <c r="I10" s="6">
        <f>(H10*100/H28)/100</f>
        <v>1.5797476313444688E-2</v>
      </c>
    </row>
    <row r="11" spans="1:9" x14ac:dyDescent="0.45">
      <c r="A11" s="10"/>
      <c r="B11" s="4" t="s">
        <v>17</v>
      </c>
      <c r="C11" s="5">
        <v>90208530.459999993</v>
      </c>
      <c r="D11" s="5">
        <v>0</v>
      </c>
      <c r="E11" s="5">
        <v>0</v>
      </c>
      <c r="F11" s="5">
        <v>0</v>
      </c>
      <c r="G11" s="5">
        <v>0</v>
      </c>
      <c r="H11" s="5">
        <f t="shared" si="0"/>
        <v>90208530.459999993</v>
      </c>
      <c r="I11" s="6">
        <f>(H11*100/H28)/100</f>
        <v>2.2443199110075987E-2</v>
      </c>
    </row>
    <row r="12" spans="1:9" x14ac:dyDescent="0.45">
      <c r="A12" s="10"/>
      <c r="B12" s="4" t="s">
        <v>18</v>
      </c>
      <c r="C12" s="5">
        <v>1041667.21</v>
      </c>
      <c r="D12" s="5">
        <v>0</v>
      </c>
      <c r="E12" s="5">
        <v>9546028.5299999993</v>
      </c>
      <c r="F12" s="5">
        <v>20773249.969999999</v>
      </c>
      <c r="G12" s="5">
        <v>191169.17</v>
      </c>
      <c r="H12" s="5">
        <f t="shared" si="0"/>
        <v>31552114.879999999</v>
      </c>
      <c r="I12" s="6">
        <f>(H12*100/H28)/100</f>
        <v>7.8499271962957917E-3</v>
      </c>
    </row>
    <row r="13" spans="1:9" x14ac:dyDescent="0.45">
      <c r="A13" s="10"/>
      <c r="B13" s="4" t="s">
        <v>19</v>
      </c>
      <c r="C13" s="5">
        <v>98817690.719999999</v>
      </c>
      <c r="D13" s="5">
        <v>11174595.02</v>
      </c>
      <c r="E13" s="5">
        <v>1628798.83</v>
      </c>
      <c r="F13" s="5">
        <v>7945589.4699999997</v>
      </c>
      <c r="G13" s="5">
        <v>689697.25</v>
      </c>
      <c r="H13" s="5">
        <f t="shared" si="0"/>
        <v>120256371.28999999</v>
      </c>
      <c r="I13" s="6">
        <f>(H13*100/H28)/100</f>
        <v>2.9918874316586398E-2</v>
      </c>
    </row>
    <row r="14" spans="1:9" x14ac:dyDescent="0.45">
      <c r="A14" s="10"/>
      <c r="B14" s="4" t="s">
        <v>20</v>
      </c>
      <c r="C14" s="5">
        <v>4293508.51</v>
      </c>
      <c r="D14" s="5">
        <v>0</v>
      </c>
      <c r="E14" s="5">
        <v>0</v>
      </c>
      <c r="F14" s="5">
        <v>0</v>
      </c>
      <c r="G14" s="5">
        <v>0</v>
      </c>
      <c r="H14" s="5">
        <f t="shared" si="0"/>
        <v>4293508.51</v>
      </c>
      <c r="I14" s="6">
        <f>(H14*100/H28)/100</f>
        <v>1.0681923968760734E-3</v>
      </c>
    </row>
    <row r="15" spans="1:9" x14ac:dyDescent="0.45">
      <c r="A15" s="10"/>
      <c r="B15" s="4" t="s">
        <v>21</v>
      </c>
      <c r="C15" s="5">
        <v>240181045.16999999</v>
      </c>
      <c r="D15" s="5">
        <v>0</v>
      </c>
      <c r="E15" s="5">
        <v>0</v>
      </c>
      <c r="F15" s="5">
        <v>0</v>
      </c>
      <c r="G15" s="5">
        <v>0</v>
      </c>
      <c r="H15" s="5">
        <f t="shared" si="0"/>
        <v>240181045.16999999</v>
      </c>
      <c r="I15" s="6">
        <f>(H15*100/H28)/100</f>
        <v>5.9755224829947468E-2</v>
      </c>
    </row>
    <row r="16" spans="1:9" x14ac:dyDescent="0.45">
      <c r="A16" s="10"/>
      <c r="B16" s="4" t="s">
        <v>22</v>
      </c>
      <c r="C16" s="5">
        <v>60111246.810000002</v>
      </c>
      <c r="D16" s="5">
        <v>0</v>
      </c>
      <c r="E16" s="5">
        <v>0</v>
      </c>
      <c r="F16" s="5">
        <v>0</v>
      </c>
      <c r="G16" s="5">
        <v>0</v>
      </c>
      <c r="H16" s="5">
        <f t="shared" si="0"/>
        <v>60111246.810000002</v>
      </c>
      <c r="I16" s="6">
        <f>(H16*100/H28)/100</f>
        <v>1.4955222904445373E-2</v>
      </c>
    </row>
    <row r="17" spans="1:9" x14ac:dyDescent="0.45">
      <c r="A17" s="10"/>
      <c r="B17" s="4" t="s">
        <v>23</v>
      </c>
      <c r="C17" s="5">
        <v>11406163.18</v>
      </c>
      <c r="D17" s="5">
        <v>1927071.35</v>
      </c>
      <c r="E17" s="5">
        <v>0</v>
      </c>
      <c r="F17" s="5">
        <v>14612269.369999999</v>
      </c>
      <c r="G17" s="5">
        <v>6557512.0599999996</v>
      </c>
      <c r="H17" s="5">
        <f t="shared" si="0"/>
        <v>34503015.960000001</v>
      </c>
      <c r="I17" s="6">
        <f>(H17*100/H28)/100</f>
        <v>8.5840890339275965E-3</v>
      </c>
    </row>
    <row r="18" spans="1:9" x14ac:dyDescent="0.45">
      <c r="A18" s="10"/>
      <c r="B18" s="4" t="s">
        <v>24</v>
      </c>
      <c r="C18" s="5">
        <v>35425690.130000003</v>
      </c>
      <c r="D18" s="5">
        <v>1634036.64</v>
      </c>
      <c r="E18" s="5">
        <v>1046554.5</v>
      </c>
      <c r="F18" s="5">
        <v>3598304.1</v>
      </c>
      <c r="G18" s="5">
        <v>1535557.96</v>
      </c>
      <c r="H18" s="5">
        <f t="shared" si="0"/>
        <v>43240143.330000006</v>
      </c>
      <c r="I18" s="6">
        <f>(H18*100/H28)/100</f>
        <v>1.0757820145775761E-2</v>
      </c>
    </row>
    <row r="19" spans="1:9" x14ac:dyDescent="0.45">
      <c r="A19" s="10"/>
      <c r="B19" s="4" t="s">
        <v>25</v>
      </c>
      <c r="C19" s="5">
        <v>48125031.859999999</v>
      </c>
      <c r="D19" s="5">
        <v>1017280.28</v>
      </c>
      <c r="E19" s="5">
        <v>869416.73</v>
      </c>
      <c r="F19" s="5">
        <v>6015087.5099999998</v>
      </c>
      <c r="G19" s="5">
        <v>4641451.3899999997</v>
      </c>
      <c r="H19" s="5">
        <f>C19+D19+E19+F19+G19</f>
        <v>60668267.769999996</v>
      </c>
      <c r="I19" s="6">
        <f>(H19*100/H28)/100</f>
        <v>1.5093805500237785E-2</v>
      </c>
    </row>
    <row r="20" spans="1:9" x14ac:dyDescent="0.45">
      <c r="A20" s="10"/>
      <c r="B20" s="4" t="s">
        <v>26</v>
      </c>
      <c r="C20" s="5">
        <v>101568.15</v>
      </c>
      <c r="D20" s="5">
        <v>0</v>
      </c>
      <c r="E20" s="5">
        <v>0</v>
      </c>
      <c r="F20" s="5">
        <v>0</v>
      </c>
      <c r="G20" s="5">
        <v>0</v>
      </c>
      <c r="H20" s="5">
        <f>C20+D20+E20+F20+G20</f>
        <v>101568.15</v>
      </c>
      <c r="I20" s="6">
        <f>(H20*100/H28)/100</f>
        <v>2.5269386410222479E-5</v>
      </c>
    </row>
    <row r="21" spans="1:9" x14ac:dyDescent="0.45">
      <c r="A21" s="10"/>
      <c r="B21" s="4" t="s">
        <v>27</v>
      </c>
      <c r="C21" s="5">
        <v>1782797.15</v>
      </c>
      <c r="D21" s="5">
        <v>0</v>
      </c>
      <c r="E21" s="5">
        <v>0</v>
      </c>
      <c r="F21" s="5">
        <v>0</v>
      </c>
      <c r="G21" s="5">
        <v>0</v>
      </c>
      <c r="H21" s="5">
        <f t="shared" ref="H21:H27" si="1">C21+D21+E21+F21+G21</f>
        <v>1782797.15</v>
      </c>
      <c r="I21" s="6">
        <f>(H21*100/H28)/100</f>
        <v>4.4354642744200189E-4</v>
      </c>
    </row>
    <row r="22" spans="1:9" x14ac:dyDescent="0.45">
      <c r="A22" s="10"/>
      <c r="B22" s="4" t="s">
        <v>28</v>
      </c>
      <c r="C22" s="5">
        <v>0</v>
      </c>
      <c r="D22" s="5">
        <v>0</v>
      </c>
      <c r="E22" s="5">
        <v>0</v>
      </c>
      <c r="F22" s="5">
        <v>0</v>
      </c>
      <c r="G22" s="5">
        <v>406047.18</v>
      </c>
      <c r="H22" s="5">
        <f t="shared" si="1"/>
        <v>406047.18</v>
      </c>
      <c r="I22" s="6">
        <f>(H22*100/H28)/100</f>
        <v>1.0102146285229337E-4</v>
      </c>
    </row>
    <row r="23" spans="1:9" x14ac:dyDescent="0.45">
      <c r="A23" s="10"/>
      <c r="B23" s="4" t="s">
        <v>29</v>
      </c>
      <c r="C23" s="5">
        <v>34347461.700000003</v>
      </c>
      <c r="D23" s="5">
        <v>6501340.4400000004</v>
      </c>
      <c r="E23" s="5">
        <v>1624489.57</v>
      </c>
      <c r="F23" s="5">
        <v>5626428.1399999997</v>
      </c>
      <c r="G23" s="5">
        <v>1203143.2</v>
      </c>
      <c r="H23" s="5">
        <f t="shared" si="1"/>
        <v>49302863.050000004</v>
      </c>
      <c r="I23" s="6">
        <f>(H23*100/H28)/100</f>
        <v>1.2266178891126104E-2</v>
      </c>
    </row>
    <row r="24" spans="1:9" x14ac:dyDescent="0.45">
      <c r="A24" s="10"/>
      <c r="B24" s="4" t="s">
        <v>30</v>
      </c>
      <c r="C24" s="5">
        <v>42996618.960000001</v>
      </c>
      <c r="D24" s="5">
        <v>31302262.77</v>
      </c>
      <c r="E24" s="5">
        <v>1452502.57</v>
      </c>
      <c r="F24" s="5">
        <v>52733.98</v>
      </c>
      <c r="G24" s="5">
        <v>0</v>
      </c>
      <c r="H24" s="5">
        <f t="shared" si="1"/>
        <v>75804118.280000001</v>
      </c>
      <c r="I24" s="6">
        <f>(H24*100/H28)/100</f>
        <v>1.8859490463334513E-2</v>
      </c>
    </row>
    <row r="25" spans="1:9" x14ac:dyDescent="0.45">
      <c r="A25" s="10"/>
      <c r="B25" s="4" t="s">
        <v>31</v>
      </c>
      <c r="C25" s="5">
        <v>735679496.49000001</v>
      </c>
      <c r="D25" s="5">
        <v>0</v>
      </c>
      <c r="E25" s="5">
        <v>0</v>
      </c>
      <c r="F25" s="5">
        <v>0</v>
      </c>
      <c r="G25" s="5">
        <v>0</v>
      </c>
      <c r="H25" s="5">
        <f t="shared" si="1"/>
        <v>735679496.49000001</v>
      </c>
      <c r="I25" s="6">
        <f>(H25*100/H28)/100</f>
        <v>0.18303148645400868</v>
      </c>
    </row>
    <row r="26" spans="1:9" x14ac:dyDescent="0.45">
      <c r="A26" s="10"/>
      <c r="B26" s="4" t="s">
        <v>32</v>
      </c>
      <c r="C26" s="5">
        <v>1376066.91</v>
      </c>
      <c r="D26" s="5">
        <v>0</v>
      </c>
      <c r="E26" s="5">
        <v>0</v>
      </c>
      <c r="F26" s="5">
        <v>0</v>
      </c>
      <c r="G26" s="5">
        <v>0</v>
      </c>
      <c r="H26" s="5">
        <f t="shared" si="1"/>
        <v>1376066.91</v>
      </c>
      <c r="I26" s="6">
        <f>(H26*100/H28)/100</f>
        <v>3.4235502443542425E-4</v>
      </c>
    </row>
    <row r="27" spans="1:9" x14ac:dyDescent="0.45">
      <c r="A27" s="10"/>
      <c r="B27" s="4" t="s">
        <v>33</v>
      </c>
      <c r="C27" s="5">
        <v>234460.5</v>
      </c>
      <c r="D27" s="5">
        <v>0</v>
      </c>
      <c r="E27" s="5">
        <v>0</v>
      </c>
      <c r="F27" s="5">
        <v>0</v>
      </c>
      <c r="G27" s="5">
        <v>0</v>
      </c>
      <c r="H27" s="5">
        <f t="shared" si="1"/>
        <v>234460.5</v>
      </c>
      <c r="I27" s="6">
        <f>(H27*100/H28)/100</f>
        <v>5.8331996520897221E-5</v>
      </c>
    </row>
    <row r="28" spans="1:9" x14ac:dyDescent="0.45">
      <c r="A28" s="10"/>
      <c r="B28" s="4"/>
      <c r="C28" s="7">
        <f t="shared" ref="C28:I28" si="2">SUM(C2:C27)</f>
        <v>3875842351.2300005</v>
      </c>
      <c r="D28" s="7">
        <f t="shared" si="2"/>
        <v>53556586.5</v>
      </c>
      <c r="E28" s="7">
        <f t="shared" si="2"/>
        <v>16167790.73</v>
      </c>
      <c r="F28" s="7">
        <f t="shared" si="2"/>
        <v>58623662.539999992</v>
      </c>
      <c r="G28" s="7">
        <f t="shared" si="2"/>
        <v>15224578.209999997</v>
      </c>
      <c r="H28" s="7">
        <f t="shared" si="2"/>
        <v>4019414969.210001</v>
      </c>
      <c r="I28" s="6">
        <f t="shared" si="2"/>
        <v>0.99999999999999967</v>
      </c>
    </row>
  </sheetData>
  <mergeCells count="1">
    <mergeCell ref="A1:A28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Lopez Osornio</dc:creator>
  <cp:lastModifiedBy>Juan Manuel Lopez Osornio</cp:lastModifiedBy>
  <dcterms:created xsi:type="dcterms:W3CDTF">2015-06-05T18:19:34Z</dcterms:created>
  <dcterms:modified xsi:type="dcterms:W3CDTF">2026-09-11T00:01:48Z</dcterms:modified>
</cp:coreProperties>
</file>